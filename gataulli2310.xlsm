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1" l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H16" i="1"/>
  <c r="H15" i="1" s="1"/>
  <c r="G16" i="1"/>
  <c r="I14" i="1"/>
  <c r="J14" i="1"/>
  <c r="K14" i="1"/>
  <c r="L14" i="1" s="1"/>
  <c r="M14" i="1" s="1"/>
  <c r="N14" i="1" s="1"/>
  <c r="O14" i="1" s="1"/>
  <c r="P14" i="1" s="1"/>
  <c r="Q14" i="1" s="1"/>
  <c r="R14" i="1" s="1"/>
  <c r="S14" i="1" s="1"/>
  <c r="T14" i="1" s="1"/>
  <c r="U14" i="1" s="1"/>
  <c r="V14" i="1" s="1"/>
  <c r="W14" i="1" s="1"/>
  <c r="X14" i="1" s="1"/>
  <c r="Y14" i="1" s="1"/>
  <c r="Z14" i="1" s="1"/>
  <c r="AA14" i="1" s="1"/>
  <c r="AB14" i="1" s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AS14" i="1" s="1"/>
  <c r="AT14" i="1" s="1"/>
  <c r="AU14" i="1" s="1"/>
  <c r="AV14" i="1" s="1"/>
  <c r="AW14" i="1" s="1"/>
  <c r="AX14" i="1" s="1"/>
  <c r="AY14" i="1" s="1"/>
  <c r="AZ14" i="1" s="1"/>
  <c r="BA14" i="1" s="1"/>
  <c r="BB14" i="1" s="1"/>
  <c r="BC14" i="1" s="1"/>
  <c r="BD14" i="1" s="1"/>
  <c r="BE14" i="1" s="1"/>
  <c r="BF14" i="1" s="1"/>
  <c r="BG14" i="1" s="1"/>
  <c r="BH14" i="1" s="1"/>
  <c r="BI14" i="1" s="1"/>
  <c r="BJ14" i="1" s="1"/>
  <c r="BK14" i="1" s="1"/>
  <c r="BL14" i="1" s="1"/>
  <c r="BM14" i="1" s="1"/>
  <c r="BN14" i="1" s="1"/>
  <c r="BO14" i="1" s="1"/>
  <c r="BP14" i="1" s="1"/>
  <c r="BQ14" i="1" s="1"/>
  <c r="BR14" i="1" s="1"/>
  <c r="H14" i="1"/>
  <c r="BS12" i="1"/>
  <c r="G15" i="1"/>
  <c r="G14" i="1"/>
  <c r="C16" i="1"/>
  <c r="C17" i="1"/>
  <c r="C15" i="1"/>
  <c r="C5" i="1"/>
  <c r="G10" i="1"/>
  <c r="BS10" i="1"/>
  <c r="I9" i="1"/>
  <c r="J9" i="1"/>
  <c r="K9" i="1"/>
  <c r="L9" i="1" s="1"/>
  <c r="M9" i="1" s="1"/>
  <c r="N9" i="1" s="1"/>
  <c r="O9" i="1" s="1"/>
  <c r="P9" i="1" s="1"/>
  <c r="Q9" i="1" s="1"/>
  <c r="R9" i="1" s="1"/>
  <c r="S9" i="1" s="1"/>
  <c r="T9" i="1" s="1"/>
  <c r="U9" i="1" s="1"/>
  <c r="V9" i="1" s="1"/>
  <c r="W9" i="1" s="1"/>
  <c r="X9" i="1" s="1"/>
  <c r="Y9" i="1" s="1"/>
  <c r="Z9" i="1" s="1"/>
  <c r="AA9" i="1" s="1"/>
  <c r="AB9" i="1" s="1"/>
  <c r="AC9" i="1" s="1"/>
  <c r="AD9" i="1" s="1"/>
  <c r="AE9" i="1" s="1"/>
  <c r="AF9" i="1" s="1"/>
  <c r="AG9" i="1" s="1"/>
  <c r="AH9" i="1" s="1"/>
  <c r="AI9" i="1" s="1"/>
  <c r="AJ9" i="1" s="1"/>
  <c r="AK9" i="1" s="1"/>
  <c r="AL9" i="1" s="1"/>
  <c r="AM9" i="1" s="1"/>
  <c r="AN9" i="1" s="1"/>
  <c r="AO9" i="1" s="1"/>
  <c r="AP9" i="1" s="1"/>
  <c r="AQ9" i="1" s="1"/>
  <c r="AR9" i="1" s="1"/>
  <c r="AS9" i="1" s="1"/>
  <c r="AT9" i="1" s="1"/>
  <c r="AU9" i="1" s="1"/>
  <c r="AV9" i="1" s="1"/>
  <c r="AW9" i="1" s="1"/>
  <c r="AX9" i="1" s="1"/>
  <c r="AY9" i="1" s="1"/>
  <c r="AZ9" i="1" s="1"/>
  <c r="BA9" i="1" s="1"/>
  <c r="BB9" i="1" s="1"/>
  <c r="BC9" i="1" s="1"/>
  <c r="BD9" i="1" s="1"/>
  <c r="BE9" i="1" s="1"/>
  <c r="BF9" i="1" s="1"/>
  <c r="BG9" i="1" s="1"/>
  <c r="BH9" i="1" s="1"/>
  <c r="BI9" i="1" s="1"/>
  <c r="BJ9" i="1" s="1"/>
  <c r="BK9" i="1" s="1"/>
  <c r="BL9" i="1" s="1"/>
  <c r="BM9" i="1" s="1"/>
  <c r="BN9" i="1" s="1"/>
  <c r="BO9" i="1" s="1"/>
  <c r="BP9" i="1" s="1"/>
  <c r="BQ9" i="1" s="1"/>
  <c r="BR9" i="1" s="1"/>
  <c r="BS9" i="1" s="1"/>
  <c r="H9" i="1"/>
  <c r="C4" i="1"/>
  <c r="I15" i="1" l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C15" i="1" s="1"/>
  <c r="BD15" i="1" s="1"/>
  <c r="BE15" i="1" s="1"/>
  <c r="BF15" i="1" s="1"/>
  <c r="BG15" i="1" s="1"/>
  <c r="BH15" i="1" s="1"/>
  <c r="BI15" i="1" s="1"/>
  <c r="BJ15" i="1" s="1"/>
  <c r="BK15" i="1" s="1"/>
  <c r="BL15" i="1" s="1"/>
  <c r="BM15" i="1" s="1"/>
  <c r="BN15" i="1" s="1"/>
  <c r="BO15" i="1" s="1"/>
  <c r="BP15" i="1" s="1"/>
  <c r="BQ15" i="1" s="1"/>
  <c r="BR15" i="1" s="1"/>
  <c r="BR12" i="1" s="1"/>
  <c r="BQ12" i="1" s="1"/>
  <c r="BP12" i="1" s="1"/>
  <c r="BO12" i="1" s="1"/>
  <c r="BN12" i="1" s="1"/>
  <c r="BM12" i="1" s="1"/>
  <c r="BL12" i="1" s="1"/>
  <c r="BK12" i="1" s="1"/>
  <c r="BJ12" i="1" s="1"/>
  <c r="BI12" i="1" s="1"/>
  <c r="BH12" i="1" s="1"/>
  <c r="BG12" i="1" s="1"/>
  <c r="BF12" i="1" s="1"/>
  <c r="BE12" i="1" s="1"/>
  <c r="BD12" i="1" s="1"/>
  <c r="BC12" i="1" s="1"/>
  <c r="BB12" i="1" s="1"/>
  <c r="BA12" i="1" s="1"/>
  <c r="AZ12" i="1" s="1"/>
  <c r="AY12" i="1" s="1"/>
  <c r="AX12" i="1" s="1"/>
  <c r="AW12" i="1" s="1"/>
  <c r="AV12" i="1" s="1"/>
  <c r="AU12" i="1" s="1"/>
  <c r="AT12" i="1" s="1"/>
  <c r="AS12" i="1" s="1"/>
  <c r="AR12" i="1" s="1"/>
  <c r="AQ12" i="1" s="1"/>
  <c r="AP12" i="1" s="1"/>
  <c r="AO12" i="1" s="1"/>
  <c r="AN12" i="1" s="1"/>
  <c r="AM12" i="1" s="1"/>
  <c r="AL12" i="1" s="1"/>
  <c r="AK12" i="1" s="1"/>
  <c r="AJ12" i="1" s="1"/>
  <c r="AI12" i="1" s="1"/>
  <c r="AH12" i="1" s="1"/>
  <c r="AG12" i="1" s="1"/>
  <c r="AF12" i="1" s="1"/>
  <c r="AE12" i="1" s="1"/>
  <c r="AD12" i="1" s="1"/>
  <c r="AC12" i="1" s="1"/>
  <c r="AB12" i="1" s="1"/>
  <c r="AA12" i="1" s="1"/>
  <c r="Z12" i="1" s="1"/>
  <c r="Y12" i="1" s="1"/>
  <c r="X12" i="1" s="1"/>
  <c r="W12" i="1" s="1"/>
  <c r="V12" i="1" s="1"/>
  <c r="U12" i="1" s="1"/>
  <c r="T12" i="1" s="1"/>
  <c r="S12" i="1" s="1"/>
  <c r="R12" i="1" s="1"/>
  <c r="Q12" i="1" s="1"/>
  <c r="P12" i="1" s="1"/>
  <c r="O12" i="1" s="1"/>
  <c r="N12" i="1" s="1"/>
  <c r="M12" i="1" s="1"/>
  <c r="L12" i="1" s="1"/>
  <c r="K12" i="1" s="1"/>
  <c r="J12" i="1" s="1"/>
  <c r="I12" i="1" s="1"/>
  <c r="H12" i="1" s="1"/>
</calcChain>
</file>

<file path=xl/sharedStrings.xml><?xml version="1.0" encoding="utf-8"?>
<sst xmlns="http://schemas.openxmlformats.org/spreadsheetml/2006/main" count="18" uniqueCount="17">
  <si>
    <t>L</t>
  </si>
  <si>
    <t>dx</t>
  </si>
  <si>
    <t>dt</t>
  </si>
  <si>
    <t>t</t>
  </si>
  <si>
    <t>Cp</t>
  </si>
  <si>
    <t>r0</t>
  </si>
  <si>
    <t>lambda</t>
  </si>
  <si>
    <t>T_start</t>
  </si>
  <si>
    <t>T_end</t>
  </si>
  <si>
    <t>A</t>
  </si>
  <si>
    <t>B</t>
  </si>
  <si>
    <t>C</t>
  </si>
  <si>
    <t>T</t>
  </si>
  <si>
    <t>T_iter</t>
  </si>
  <si>
    <t>alf</t>
  </si>
  <si>
    <t>bet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</si>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</sst>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1" xfId="0" applyNumberFormat="1" applyBorder="1"/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BFF7E0"/>
      <color rgb="FFE97B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21391638549822"/>
          <c:y val="9.1844791031280099E-2"/>
          <c:w val="0.81988574264580205"/>
          <c:h val="0.834684862392413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Лист1!$F$10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Лист1!$G$9:$BS$9</c:f>
              <c:numCache>
                <c:formatCode>0.000</c:formatCode>
                <c:ptCount val="65"/>
                <c:pt idx="0" formatCode="General">
                  <c:v>0</c:v>
                </c:pt>
                <c:pt idx="1">
                  <c:v>2.1875000000000002E-3</c:v>
                </c:pt>
                <c:pt idx="2">
                  <c:v>4.3750000000000004E-3</c:v>
                </c:pt>
                <c:pt idx="3">
                  <c:v>6.5625000000000006E-3</c:v>
                </c:pt>
                <c:pt idx="4">
                  <c:v>8.7500000000000008E-3</c:v>
                </c:pt>
                <c:pt idx="5">
                  <c:v>1.0937500000000001E-2</c:v>
                </c:pt>
                <c:pt idx="6">
                  <c:v>1.3125000000000001E-2</c:v>
                </c:pt>
                <c:pt idx="7">
                  <c:v>1.5312500000000001E-2</c:v>
                </c:pt>
                <c:pt idx="8">
                  <c:v>1.7500000000000002E-2</c:v>
                </c:pt>
                <c:pt idx="9">
                  <c:v>1.9687500000000004E-2</c:v>
                </c:pt>
                <c:pt idx="10">
                  <c:v>2.1875000000000006E-2</c:v>
                </c:pt>
                <c:pt idx="11">
                  <c:v>2.4062500000000007E-2</c:v>
                </c:pt>
                <c:pt idx="12">
                  <c:v>2.6250000000000009E-2</c:v>
                </c:pt>
                <c:pt idx="13">
                  <c:v>2.8437500000000011E-2</c:v>
                </c:pt>
                <c:pt idx="14">
                  <c:v>3.0625000000000013E-2</c:v>
                </c:pt>
                <c:pt idx="15">
                  <c:v>3.2812500000000015E-2</c:v>
                </c:pt>
                <c:pt idx="16">
                  <c:v>3.5000000000000017E-2</c:v>
                </c:pt>
                <c:pt idx="17">
                  <c:v>3.7187500000000019E-2</c:v>
                </c:pt>
                <c:pt idx="18">
                  <c:v>3.9375000000000021E-2</c:v>
                </c:pt>
                <c:pt idx="19">
                  <c:v>4.1562500000000023E-2</c:v>
                </c:pt>
                <c:pt idx="20">
                  <c:v>4.3750000000000025E-2</c:v>
                </c:pt>
                <c:pt idx="21">
                  <c:v>4.5937500000000027E-2</c:v>
                </c:pt>
                <c:pt idx="22">
                  <c:v>4.8125000000000029E-2</c:v>
                </c:pt>
                <c:pt idx="23">
                  <c:v>5.0312500000000031E-2</c:v>
                </c:pt>
                <c:pt idx="24">
                  <c:v>5.2500000000000033E-2</c:v>
                </c:pt>
                <c:pt idx="25">
                  <c:v>5.4687500000000035E-2</c:v>
                </c:pt>
                <c:pt idx="26">
                  <c:v>5.6875000000000037E-2</c:v>
                </c:pt>
                <c:pt idx="27">
                  <c:v>5.9062500000000039E-2</c:v>
                </c:pt>
                <c:pt idx="28">
                  <c:v>6.1250000000000041E-2</c:v>
                </c:pt>
                <c:pt idx="29">
                  <c:v>6.3437500000000036E-2</c:v>
                </c:pt>
                <c:pt idx="30">
                  <c:v>6.5625000000000031E-2</c:v>
                </c:pt>
                <c:pt idx="31">
                  <c:v>6.7812500000000026E-2</c:v>
                </c:pt>
                <c:pt idx="32">
                  <c:v>7.0000000000000021E-2</c:v>
                </c:pt>
                <c:pt idx="33">
                  <c:v>7.2187500000000016E-2</c:v>
                </c:pt>
                <c:pt idx="34">
                  <c:v>7.4375000000000011E-2</c:v>
                </c:pt>
                <c:pt idx="35">
                  <c:v>7.6562500000000006E-2</c:v>
                </c:pt>
                <c:pt idx="36">
                  <c:v>7.8750000000000001E-2</c:v>
                </c:pt>
                <c:pt idx="37">
                  <c:v>8.0937499999999996E-2</c:v>
                </c:pt>
                <c:pt idx="38">
                  <c:v>8.3124999999999991E-2</c:v>
                </c:pt>
                <c:pt idx="39">
                  <c:v>8.5312499999999986E-2</c:v>
                </c:pt>
                <c:pt idx="40">
                  <c:v>8.7499999999999981E-2</c:v>
                </c:pt>
                <c:pt idx="41">
                  <c:v>8.9687499999999976E-2</c:v>
                </c:pt>
                <c:pt idx="42">
                  <c:v>9.1874999999999971E-2</c:v>
                </c:pt>
                <c:pt idx="43">
                  <c:v>9.4062499999999966E-2</c:v>
                </c:pt>
                <c:pt idx="44">
                  <c:v>9.6249999999999961E-2</c:v>
                </c:pt>
                <c:pt idx="45">
                  <c:v>9.8437499999999956E-2</c:v>
                </c:pt>
                <c:pt idx="46">
                  <c:v>0.10062499999999995</c:v>
                </c:pt>
                <c:pt idx="47">
                  <c:v>0.10281249999999995</c:v>
                </c:pt>
                <c:pt idx="48">
                  <c:v>0.10499999999999994</c:v>
                </c:pt>
                <c:pt idx="49">
                  <c:v>0.10718749999999994</c:v>
                </c:pt>
                <c:pt idx="50">
                  <c:v>0.10937499999999993</c:v>
                </c:pt>
                <c:pt idx="51">
                  <c:v>0.11156249999999993</c:v>
                </c:pt>
                <c:pt idx="52">
                  <c:v>0.11374999999999992</c:v>
                </c:pt>
                <c:pt idx="53">
                  <c:v>0.11593749999999992</c:v>
                </c:pt>
                <c:pt idx="54">
                  <c:v>0.11812499999999991</c:v>
                </c:pt>
                <c:pt idx="55">
                  <c:v>0.12031249999999991</c:v>
                </c:pt>
                <c:pt idx="56">
                  <c:v>0.1224999999999999</c:v>
                </c:pt>
                <c:pt idx="57">
                  <c:v>0.1246874999999999</c:v>
                </c:pt>
                <c:pt idx="58">
                  <c:v>0.1268749999999999</c:v>
                </c:pt>
                <c:pt idx="59">
                  <c:v>0.12906249999999991</c:v>
                </c:pt>
                <c:pt idx="60">
                  <c:v>0.13124999999999992</c:v>
                </c:pt>
                <c:pt idx="61">
                  <c:v>0.13343749999999993</c:v>
                </c:pt>
                <c:pt idx="62">
                  <c:v>0.13562499999999994</c:v>
                </c:pt>
                <c:pt idx="63">
                  <c:v>0.13781249999999995</c:v>
                </c:pt>
                <c:pt idx="64" formatCode="0.00">
                  <c:v>0.13999999999999996</c:v>
                </c:pt>
              </c:numCache>
            </c:numRef>
          </c:xVal>
          <c:yVal>
            <c:numRef>
              <c:f>Лист1!$G$10:$BS$10</c:f>
              <c:numCache>
                <c:formatCode>General</c:formatCode>
                <c:ptCount val="65"/>
                <c:pt idx="0">
                  <c:v>50</c:v>
                </c:pt>
                <c:pt idx="1">
                  <c:v>47.438153918983524</c:v>
                </c:pt>
                <c:pt idx="2">
                  <c:v>44.886904823249637</c:v>
                </c:pt>
                <c:pt idx="3">
                  <c:v>42.356717650580627</c:v>
                </c:pt>
                <c:pt idx="4">
                  <c:v>39.857795997552728</c:v>
                </c:pt>
                <c:pt idx="5">
                  <c:v>37.399958252681955</c:v>
                </c:pt>
                <c:pt idx="6">
                  <c:v>34.992521671061304</c:v>
                </c:pt>
                <c:pt idx="7">
                  <c:v>32.644196674999726</c:v>
                </c:pt>
                <c:pt idx="8">
                  <c:v>30.362993371943141</c:v>
                </c:pt>
                <c:pt idx="9">
                  <c:v>28.156141935475997</c:v>
                </c:pt>
                <c:pt idx="10">
                  <c:v>26.030028110071026</c:v>
                </c:pt>
                <c:pt idx="11">
                  <c:v>23.990144689262763</c:v>
                </c:pt>
                <c:pt idx="12">
                  <c:v>22.041059394437418</c:v>
                </c:pt>
                <c:pt idx="13">
                  <c:v>20.186399161795528</c:v>
                </c:pt>
                <c:pt idx="14">
                  <c:v>18.428850441967267</c:v>
                </c:pt>
                <c:pt idx="15">
                  <c:v>16.770174742787621</c:v>
                </c:pt>
                <c:pt idx="16">
                  <c:v>15.211238311779701</c:v>
                </c:pt>
                <c:pt idx="17">
                  <c:v>13.752054569849987</c:v>
                </c:pt>
                <c:pt idx="18">
                  <c:v>12.391837678201474</c:v>
                </c:pt>
                <c:pt idx="19">
                  <c:v>11.129065450732931</c:v>
                </c:pt>
                <c:pt idx="20">
                  <c:v>9.9615497159837219</c:v>
                </c:pt>
                <c:pt idx="21">
                  <c:v>8.8865121854087938</c:v>
                </c:pt>
                <c:pt idx="22">
                  <c:v>7.9006638956526318</c:v>
                </c:pt>
                <c:pt idx="23">
                  <c:v>7.0002863568472451</c:v>
                </c:pt>
                <c:pt idx="24">
                  <c:v>6.1813126505218996</c:v>
                </c:pt>
                <c:pt idx="25">
                  <c:v>5.4394068720147919</c:v>
                </c:pt>
                <c:pt idx="26">
                  <c:v>4.7700404950520516</c:v>
                </c:pt>
                <c:pt idx="27">
                  <c:v>4.1685644417409016</c:v>
                </c:pt>
                <c:pt idx="28">
                  <c:v>3.6302758609288697</c:v>
                </c:pt>
                <c:pt idx="29">
                  <c:v>3.1504788433585467</c:v>
                </c:pt>
                <c:pt idx="30">
                  <c:v>2.7245385255778207</c:v>
                </c:pt>
                <c:pt idx="31">
                  <c:v>2.347928249301511</c:v>
                </c:pt>
                <c:pt idx="32">
                  <c:v>2.0162696430654679</c:v>
                </c:pt>
                <c:pt idx="33">
                  <c:v>1.7253656739355179</c:v>
                </c:pt>
                <c:pt idx="34">
                  <c:v>1.471226875311241</c:v>
                </c:pt>
                <c:pt idx="35">
                  <c:v>1.2500910902830407</c:v>
                </c:pt>
                <c:pt idx="36">
                  <c:v>1.0584371774894026</c:v>
                </c:pt>
                <c:pt idx="37">
                  <c:v>0.89299320795188974</c:v>
                </c:pt>
                <c:pt idx="38">
                  <c:v>0.75073973781988013</c:v>
                </c:pt>
                <c:pt idx="39">
                  <c:v>0.62890877497165087</c:v>
                </c:pt>
                <c:pt idx="40">
                  <c:v>0.52497906921765292</c:v>
                </c:pt>
                <c:pt idx="41">
                  <c:v>0.43666834908024432</c:v>
                </c:pt>
                <c:pt idx="42">
                  <c:v>0.36192310568393171</c:v>
                </c:pt>
                <c:pt idx="43">
                  <c:v>0.29890648919159785</c:v>
                </c:pt>
                <c:pt idx="44">
                  <c:v>0.24598483845173763</c:v>
                </c:pt>
                <c:pt idx="45">
                  <c:v>0.20171331293125985</c:v>
                </c:pt>
                <c:pt idx="46">
                  <c:v>0.16482104022726765</c:v>
                </c:pt>
                <c:pt idx="47">
                  <c:v>0.13419613482156595</c:v>
                </c:pt>
                <c:pt idx="48">
                  <c:v>0.10887088627620339</c:v>
                </c:pt>
                <c:pt idx="49">
                  <c:v>8.8007359428915036E-2</c:v>
                </c:pt>
                <c:pt idx="50">
                  <c:v>7.0883596641220833E-2</c:v>
                </c:pt>
                <c:pt idx="51">
                  <c:v>5.6880563743787318E-2</c:v>
                </c:pt>
                <c:pt idx="52">
                  <c:v>4.5469937659097313E-2</c:v>
                </c:pt>
                <c:pt idx="53">
                  <c:v>3.6202795119651701E-2</c:v>
                </c:pt>
                <c:pt idx="54">
                  <c:v>2.8699228551848123E-2</c:v>
                </c:pt>
                <c:pt idx="55">
                  <c:v>2.2638886965592943E-2</c:v>
                </c:pt>
                <c:pt idx="56">
                  <c:v>1.7752416317239349E-2</c:v>
                </c:pt>
                <c:pt idx="57">
                  <c:v>1.3813754914611912E-2</c:v>
                </c:pt>
                <c:pt idx="58">
                  <c:v>1.0633224538437923E-2</c:v>
                </c:pt>
                <c:pt idx="59">
                  <c:v>8.0513465447507437E-3</c:v>
                </c:pt>
                <c:pt idx="60">
                  <c:v>5.9333037481491399E-3</c:v>
                </c:pt>
                <c:pt idx="61">
                  <c:v>4.1639628327774878E-3</c:v>
                </c:pt>
                <c:pt idx="62">
                  <c:v>2.6433678909881957E-3</c:v>
                </c:pt>
                <c:pt idx="63">
                  <c:v>1.2826129886669522E-3</c:v>
                </c:pt>
                <c:pt idx="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12-494B-A8C0-76F683AD1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8064"/>
        <c:axId val="148514128"/>
      </c:scatterChart>
      <c:valAx>
        <c:axId val="14851806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514128"/>
        <c:crosses val="autoZero"/>
        <c:crossBetween val="midCat"/>
        <c:majorUnit val="2.0000000000000004E-2"/>
      </c:valAx>
      <c:valAx>
        <c:axId val="148514128"/>
        <c:scaling>
          <c:orientation val="minMax"/>
          <c:max val="55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51806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428624</xdr:colOff>
      <xdr:row>17</xdr:row>
      <xdr:rowOff>171448</xdr:rowOff>
    </xdr:from>
    <xdr:to>
      <xdr:col>18</xdr:col>
      <xdr:colOff>447675</xdr:colOff>
      <xdr:row>41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447675</xdr:colOff>
      <xdr:row>18</xdr:row>
      <xdr:rowOff>142875</xdr:rowOff>
    </xdr:from>
    <xdr:ext cx="643381" cy="298800"/>
    <xdr:sp macro="" textlink="">
      <xdr:nvSpPr>
        <xdr:cNvPr id="3" name="TextBox 2"/>
        <xdr:cNvSpPr txBox="1"/>
      </xdr:nvSpPr>
      <xdr:spPr>
        <a:xfrm>
          <a:off x="2914650" y="3571875"/>
          <a:ext cx="64338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T, (C)</a:t>
          </a:r>
          <a:endParaRPr lang="ru-RU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17</xdr:col>
      <xdr:colOff>400050</xdr:colOff>
      <xdr:row>39</xdr:row>
      <xdr:rowOff>152400</xdr:rowOff>
    </xdr:from>
    <xdr:ext cx="616194" cy="311496"/>
    <xdr:sp macro="" textlink="">
      <xdr:nvSpPr>
        <xdr:cNvPr id="4" name="TextBox 3"/>
        <xdr:cNvSpPr txBox="1"/>
      </xdr:nvSpPr>
      <xdr:spPr>
        <a:xfrm>
          <a:off x="11153775" y="7581900"/>
          <a:ext cx="61619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chemeClr val="tx1"/>
              </a:solidFill>
            </a:rPr>
            <a:t>L, (</a:t>
          </a:r>
          <a:r>
            <a:rPr lang="ru-RU" sz="1400" b="1">
              <a:solidFill>
                <a:schemeClr val="tx1"/>
              </a:solidFill>
            </a:rPr>
            <a:t>М)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BS17"/>
  <sheetViews>
    <sheetView tabSelected="1" topLeftCell="A7" workbookViewId="0">
      <selection activeCell="V23" sqref="V23"/>
    </sheetView>
  </sheetViews>
  <sheetFormatPr defaultRowHeight="15" x14ac:dyDescent="0.25"/>
  <cols>
    <col min="3" max="3" width="9.5703125" bestFit="1" customWidth="1"/>
    <col min="7" max="7" width="12.28515625" customWidth="1"/>
    <col min="8" max="8" width="11.42578125" customWidth="1"/>
  </cols>
  <sheetData>
    <row r="3" spans="2:71" x14ac:dyDescent="0.25">
      <c r="B3" s="1" t="s">
        <v>0</v>
      </c>
      <c r="C3" s="1">
        <v>0.14000000000000001</v>
      </c>
    </row>
    <row r="4" spans="2:71" x14ac:dyDescent="0.25">
      <c r="B4" s="1" t="s">
        <v>1</v>
      </c>
      <c r="C4" s="4">
        <f>C3/64</f>
        <v>2.1875000000000002E-3</v>
      </c>
    </row>
    <row r="5" spans="2:71" x14ac:dyDescent="0.25">
      <c r="B5" s="1" t="s">
        <v>2</v>
      </c>
      <c r="C5" s="1">
        <f>(C8*C9*C4^2)/(2*C10)</f>
        <v>0.18662109374999999</v>
      </c>
    </row>
    <row r="6" spans="2:71" x14ac:dyDescent="0.25">
      <c r="B6" s="1" t="s">
        <v>3</v>
      </c>
      <c r="C6" s="1">
        <v>45</v>
      </c>
      <c r="D6">
        <v>45.162304687499997</v>
      </c>
    </row>
    <row r="8" spans="2:71" x14ac:dyDescent="0.25">
      <c r="B8" s="1" t="s">
        <v>4</v>
      </c>
      <c r="C8" s="1">
        <v>460</v>
      </c>
      <c r="F8" s="1"/>
      <c r="G8" s="2">
        <v>1</v>
      </c>
      <c r="H8" s="2">
        <v>2</v>
      </c>
      <c r="I8" s="2">
        <v>3</v>
      </c>
      <c r="J8" s="2">
        <v>4</v>
      </c>
      <c r="K8" s="2">
        <v>5</v>
      </c>
      <c r="L8" s="2">
        <v>6</v>
      </c>
      <c r="M8" s="2">
        <v>7</v>
      </c>
      <c r="N8" s="2">
        <v>8</v>
      </c>
      <c r="O8" s="2">
        <v>9</v>
      </c>
      <c r="P8" s="2">
        <v>10</v>
      </c>
      <c r="Q8" s="2">
        <v>11</v>
      </c>
      <c r="R8" s="2">
        <v>12</v>
      </c>
      <c r="S8" s="2">
        <v>13</v>
      </c>
      <c r="T8" s="2">
        <v>14</v>
      </c>
      <c r="U8" s="2">
        <v>15</v>
      </c>
      <c r="V8" s="2">
        <v>16</v>
      </c>
      <c r="W8" s="2">
        <v>17</v>
      </c>
      <c r="X8" s="2">
        <v>18</v>
      </c>
      <c r="Y8" s="2">
        <v>19</v>
      </c>
      <c r="Z8" s="2">
        <v>20</v>
      </c>
      <c r="AA8" s="2">
        <v>21</v>
      </c>
      <c r="AB8" s="2">
        <v>22</v>
      </c>
      <c r="AC8" s="2">
        <v>23</v>
      </c>
      <c r="AD8" s="2">
        <v>24</v>
      </c>
      <c r="AE8" s="2">
        <v>25</v>
      </c>
      <c r="AF8" s="2">
        <v>26</v>
      </c>
      <c r="AG8" s="2">
        <v>27</v>
      </c>
      <c r="AH8" s="2">
        <v>28</v>
      </c>
      <c r="AI8" s="2">
        <v>29</v>
      </c>
      <c r="AJ8" s="2">
        <v>30</v>
      </c>
      <c r="AK8" s="2">
        <v>31</v>
      </c>
      <c r="AL8" s="2">
        <v>32</v>
      </c>
      <c r="AM8" s="2">
        <v>33</v>
      </c>
      <c r="AN8" s="2">
        <v>34</v>
      </c>
      <c r="AO8" s="2">
        <v>35</v>
      </c>
      <c r="AP8" s="2">
        <v>36</v>
      </c>
      <c r="AQ8" s="2">
        <v>37</v>
      </c>
      <c r="AR8" s="2">
        <v>38</v>
      </c>
      <c r="AS8" s="2">
        <v>39</v>
      </c>
      <c r="AT8" s="2">
        <v>40</v>
      </c>
      <c r="AU8" s="2">
        <v>41</v>
      </c>
      <c r="AV8" s="2">
        <v>42</v>
      </c>
      <c r="AW8" s="2">
        <v>43</v>
      </c>
      <c r="AX8" s="2">
        <v>44</v>
      </c>
      <c r="AY8" s="2">
        <v>45</v>
      </c>
      <c r="AZ8" s="2">
        <v>46</v>
      </c>
      <c r="BA8" s="2">
        <v>47</v>
      </c>
      <c r="BB8" s="2">
        <v>48</v>
      </c>
      <c r="BC8" s="2">
        <v>49</v>
      </c>
      <c r="BD8" s="2">
        <v>50</v>
      </c>
      <c r="BE8" s="2">
        <v>51</v>
      </c>
      <c r="BF8" s="2">
        <v>52</v>
      </c>
      <c r="BG8" s="2">
        <v>53</v>
      </c>
      <c r="BH8" s="2">
        <v>54</v>
      </c>
      <c r="BI8" s="2">
        <v>55</v>
      </c>
      <c r="BJ8" s="2">
        <v>56</v>
      </c>
      <c r="BK8" s="2">
        <v>57</v>
      </c>
      <c r="BL8" s="2">
        <v>58</v>
      </c>
      <c r="BM8" s="2">
        <v>59</v>
      </c>
      <c r="BN8" s="2">
        <v>60</v>
      </c>
      <c r="BO8" s="2">
        <v>61</v>
      </c>
      <c r="BP8" s="2">
        <v>62</v>
      </c>
      <c r="BQ8" s="2">
        <v>63</v>
      </c>
      <c r="BR8" s="2">
        <v>64</v>
      </c>
      <c r="BS8" s="2">
        <v>65</v>
      </c>
    </row>
    <row r="9" spans="2:71" x14ac:dyDescent="0.25">
      <c r="B9" s="1" t="s">
        <v>5</v>
      </c>
      <c r="C9" s="1">
        <v>7800</v>
      </c>
      <c r="F9" s="2" t="s">
        <v>0</v>
      </c>
      <c r="G9" s="2">
        <v>0</v>
      </c>
      <c r="H9" s="5">
        <f>G9+$C$4</f>
        <v>2.1875000000000002E-3</v>
      </c>
      <c r="I9" s="5">
        <f t="shared" ref="I9:BS9" si="0">H9+$C$4</f>
        <v>4.3750000000000004E-3</v>
      </c>
      <c r="J9" s="5">
        <f t="shared" si="0"/>
        <v>6.5625000000000006E-3</v>
      </c>
      <c r="K9" s="5">
        <f t="shared" si="0"/>
        <v>8.7500000000000008E-3</v>
      </c>
      <c r="L9" s="5">
        <f t="shared" si="0"/>
        <v>1.0937500000000001E-2</v>
      </c>
      <c r="M9" s="5">
        <f t="shared" si="0"/>
        <v>1.3125000000000001E-2</v>
      </c>
      <c r="N9" s="5">
        <f t="shared" si="0"/>
        <v>1.5312500000000001E-2</v>
      </c>
      <c r="O9" s="5">
        <f t="shared" si="0"/>
        <v>1.7500000000000002E-2</v>
      </c>
      <c r="P9" s="5">
        <f t="shared" si="0"/>
        <v>1.9687500000000004E-2</v>
      </c>
      <c r="Q9" s="5">
        <f t="shared" si="0"/>
        <v>2.1875000000000006E-2</v>
      </c>
      <c r="R9" s="5">
        <f t="shared" si="0"/>
        <v>2.4062500000000007E-2</v>
      </c>
      <c r="S9" s="5">
        <f t="shared" si="0"/>
        <v>2.6250000000000009E-2</v>
      </c>
      <c r="T9" s="5">
        <f t="shared" si="0"/>
        <v>2.8437500000000011E-2</v>
      </c>
      <c r="U9" s="5">
        <f t="shared" si="0"/>
        <v>3.0625000000000013E-2</v>
      </c>
      <c r="V9" s="5">
        <f t="shared" si="0"/>
        <v>3.2812500000000015E-2</v>
      </c>
      <c r="W9" s="5">
        <f t="shared" si="0"/>
        <v>3.5000000000000017E-2</v>
      </c>
      <c r="X9" s="5">
        <f t="shared" si="0"/>
        <v>3.7187500000000019E-2</v>
      </c>
      <c r="Y9" s="5">
        <f t="shared" si="0"/>
        <v>3.9375000000000021E-2</v>
      </c>
      <c r="Z9" s="5">
        <f t="shared" si="0"/>
        <v>4.1562500000000023E-2</v>
      </c>
      <c r="AA9" s="5">
        <f t="shared" si="0"/>
        <v>4.3750000000000025E-2</v>
      </c>
      <c r="AB9" s="5">
        <f t="shared" si="0"/>
        <v>4.5937500000000027E-2</v>
      </c>
      <c r="AC9" s="5">
        <f t="shared" si="0"/>
        <v>4.8125000000000029E-2</v>
      </c>
      <c r="AD9" s="5">
        <f t="shared" si="0"/>
        <v>5.0312500000000031E-2</v>
      </c>
      <c r="AE9" s="5">
        <f t="shared" si="0"/>
        <v>5.2500000000000033E-2</v>
      </c>
      <c r="AF9" s="5">
        <f t="shared" si="0"/>
        <v>5.4687500000000035E-2</v>
      </c>
      <c r="AG9" s="5">
        <f t="shared" si="0"/>
        <v>5.6875000000000037E-2</v>
      </c>
      <c r="AH9" s="5">
        <f t="shared" si="0"/>
        <v>5.9062500000000039E-2</v>
      </c>
      <c r="AI9" s="5">
        <f t="shared" si="0"/>
        <v>6.1250000000000041E-2</v>
      </c>
      <c r="AJ9" s="5">
        <f t="shared" si="0"/>
        <v>6.3437500000000036E-2</v>
      </c>
      <c r="AK9" s="5">
        <f t="shared" si="0"/>
        <v>6.5625000000000031E-2</v>
      </c>
      <c r="AL9" s="5">
        <f t="shared" si="0"/>
        <v>6.7812500000000026E-2</v>
      </c>
      <c r="AM9" s="5">
        <f t="shared" si="0"/>
        <v>7.0000000000000021E-2</v>
      </c>
      <c r="AN9" s="5">
        <f t="shared" si="0"/>
        <v>7.2187500000000016E-2</v>
      </c>
      <c r="AO9" s="5">
        <f t="shared" si="0"/>
        <v>7.4375000000000011E-2</v>
      </c>
      <c r="AP9" s="5">
        <f t="shared" si="0"/>
        <v>7.6562500000000006E-2</v>
      </c>
      <c r="AQ9" s="5">
        <f t="shared" si="0"/>
        <v>7.8750000000000001E-2</v>
      </c>
      <c r="AR9" s="5">
        <f t="shared" si="0"/>
        <v>8.0937499999999996E-2</v>
      </c>
      <c r="AS9" s="5">
        <f t="shared" si="0"/>
        <v>8.3124999999999991E-2</v>
      </c>
      <c r="AT9" s="5">
        <f t="shared" si="0"/>
        <v>8.5312499999999986E-2</v>
      </c>
      <c r="AU9" s="5">
        <f t="shared" si="0"/>
        <v>8.7499999999999981E-2</v>
      </c>
      <c r="AV9" s="5">
        <f t="shared" si="0"/>
        <v>8.9687499999999976E-2</v>
      </c>
      <c r="AW9" s="5">
        <f t="shared" si="0"/>
        <v>9.1874999999999971E-2</v>
      </c>
      <c r="AX9" s="5">
        <f t="shared" si="0"/>
        <v>9.4062499999999966E-2</v>
      </c>
      <c r="AY9" s="5">
        <f t="shared" si="0"/>
        <v>9.6249999999999961E-2</v>
      </c>
      <c r="AZ9" s="5">
        <f t="shared" si="0"/>
        <v>9.8437499999999956E-2</v>
      </c>
      <c r="BA9" s="5">
        <f t="shared" si="0"/>
        <v>0.10062499999999995</v>
      </c>
      <c r="BB9" s="5">
        <f t="shared" si="0"/>
        <v>0.10281249999999995</v>
      </c>
      <c r="BC9" s="5">
        <f t="shared" si="0"/>
        <v>0.10499999999999994</v>
      </c>
      <c r="BD9" s="5">
        <f t="shared" si="0"/>
        <v>0.10718749999999994</v>
      </c>
      <c r="BE9" s="5">
        <f t="shared" si="0"/>
        <v>0.10937499999999993</v>
      </c>
      <c r="BF9" s="5">
        <f t="shared" si="0"/>
        <v>0.11156249999999993</v>
      </c>
      <c r="BG9" s="5">
        <f t="shared" si="0"/>
        <v>0.11374999999999992</v>
      </c>
      <c r="BH9" s="5">
        <f t="shared" si="0"/>
        <v>0.11593749999999992</v>
      </c>
      <c r="BI9" s="5">
        <f t="shared" si="0"/>
        <v>0.11812499999999991</v>
      </c>
      <c r="BJ9" s="5">
        <f t="shared" si="0"/>
        <v>0.12031249999999991</v>
      </c>
      <c r="BK9" s="5">
        <f t="shared" si="0"/>
        <v>0.1224999999999999</v>
      </c>
      <c r="BL9" s="5">
        <f t="shared" si="0"/>
        <v>0.1246874999999999</v>
      </c>
      <c r="BM9" s="5">
        <f t="shared" si="0"/>
        <v>0.1268749999999999</v>
      </c>
      <c r="BN9" s="5">
        <f t="shared" si="0"/>
        <v>0.12906249999999991</v>
      </c>
      <c r="BO9" s="5">
        <f t="shared" si="0"/>
        <v>0.13124999999999992</v>
      </c>
      <c r="BP9" s="5">
        <f t="shared" si="0"/>
        <v>0.13343749999999993</v>
      </c>
      <c r="BQ9" s="5">
        <f t="shared" si="0"/>
        <v>0.13562499999999994</v>
      </c>
      <c r="BR9" s="5">
        <f t="shared" si="0"/>
        <v>0.13781249999999995</v>
      </c>
      <c r="BS9" s="6">
        <f t="shared" si="0"/>
        <v>0.13999999999999996</v>
      </c>
    </row>
    <row r="10" spans="2:71" x14ac:dyDescent="0.25">
      <c r="B10" s="1" t="s">
        <v>6</v>
      </c>
      <c r="C10" s="1">
        <v>46</v>
      </c>
      <c r="F10" s="2" t="s">
        <v>12</v>
      </c>
      <c r="G10" s="2">
        <f>C12</f>
        <v>50</v>
      </c>
      <c r="H10" s="2">
        <v>47.438153918983524</v>
      </c>
      <c r="I10" s="2">
        <v>44.886904823249637</v>
      </c>
      <c r="J10" s="2">
        <v>42.356717650580627</v>
      </c>
      <c r="K10" s="2">
        <v>39.857795997552728</v>
      </c>
      <c r="L10" s="2">
        <v>37.399958252681955</v>
      </c>
      <c r="M10" s="2">
        <v>34.992521671061304</v>
      </c>
      <c r="N10" s="2">
        <v>32.644196674999726</v>
      </c>
      <c r="O10" s="2">
        <v>30.362993371943141</v>
      </c>
      <c r="P10" s="2">
        <v>28.156141935475997</v>
      </c>
      <c r="Q10" s="2">
        <v>26.030028110071026</v>
      </c>
      <c r="R10" s="2">
        <v>23.990144689262763</v>
      </c>
      <c r="S10" s="2">
        <v>22.041059394437418</v>
      </c>
      <c r="T10" s="2">
        <v>20.186399161795528</v>
      </c>
      <c r="U10" s="2">
        <v>18.428850441967267</v>
      </c>
      <c r="V10" s="2">
        <v>16.770174742787621</v>
      </c>
      <c r="W10" s="2">
        <v>15.211238311779701</v>
      </c>
      <c r="X10" s="2">
        <v>13.752054569849987</v>
      </c>
      <c r="Y10" s="2">
        <v>12.391837678201474</v>
      </c>
      <c r="Z10" s="2">
        <v>11.129065450732931</v>
      </c>
      <c r="AA10" s="2">
        <v>9.9615497159837219</v>
      </c>
      <c r="AB10" s="2">
        <v>8.8865121854087938</v>
      </c>
      <c r="AC10" s="2">
        <v>7.9006638956526318</v>
      </c>
      <c r="AD10" s="2">
        <v>7.0002863568472451</v>
      </c>
      <c r="AE10" s="2">
        <v>6.1813126505218996</v>
      </c>
      <c r="AF10" s="2">
        <v>5.4394068720147919</v>
      </c>
      <c r="AG10" s="2">
        <v>4.7700404950520516</v>
      </c>
      <c r="AH10" s="2">
        <v>4.1685644417409016</v>
      </c>
      <c r="AI10" s="2">
        <v>3.6302758609288697</v>
      </c>
      <c r="AJ10" s="2">
        <v>3.1504788433585467</v>
      </c>
      <c r="AK10" s="2">
        <v>2.7245385255778207</v>
      </c>
      <c r="AL10" s="2">
        <v>2.347928249301511</v>
      </c>
      <c r="AM10" s="2">
        <v>2.0162696430654679</v>
      </c>
      <c r="AN10" s="2">
        <v>1.7253656739355179</v>
      </c>
      <c r="AO10" s="2">
        <v>1.471226875311241</v>
      </c>
      <c r="AP10" s="2">
        <v>1.2500910902830407</v>
      </c>
      <c r="AQ10" s="2">
        <v>1.0584371774894026</v>
      </c>
      <c r="AR10" s="2">
        <v>0.89299320795188974</v>
      </c>
      <c r="AS10" s="2">
        <v>0.75073973781988013</v>
      </c>
      <c r="AT10" s="2">
        <v>0.62890877497165087</v>
      </c>
      <c r="AU10" s="2">
        <v>0.52497906921765292</v>
      </c>
      <c r="AV10" s="2">
        <v>0.43666834908024432</v>
      </c>
      <c r="AW10" s="2">
        <v>0.36192310568393171</v>
      </c>
      <c r="AX10" s="2">
        <v>0.29890648919159785</v>
      </c>
      <c r="AY10" s="2">
        <v>0.24598483845173763</v>
      </c>
      <c r="AZ10" s="2">
        <v>0.20171331293125985</v>
      </c>
      <c r="BA10" s="2">
        <v>0.16482104022726765</v>
      </c>
      <c r="BB10" s="2">
        <v>0.13419613482156595</v>
      </c>
      <c r="BC10" s="2">
        <v>0.10887088627620339</v>
      </c>
      <c r="BD10" s="2">
        <v>8.8007359428915036E-2</v>
      </c>
      <c r="BE10" s="2">
        <v>7.0883596641220833E-2</v>
      </c>
      <c r="BF10" s="2">
        <v>5.6880563743787318E-2</v>
      </c>
      <c r="BG10" s="2">
        <v>4.5469937659097313E-2</v>
      </c>
      <c r="BH10" s="2">
        <v>3.6202795119651701E-2</v>
      </c>
      <c r="BI10" s="2">
        <v>2.8699228551848123E-2</v>
      </c>
      <c r="BJ10" s="2">
        <v>2.2638886965592943E-2</v>
      </c>
      <c r="BK10" s="2">
        <v>1.7752416317239349E-2</v>
      </c>
      <c r="BL10" s="2">
        <v>1.3813754914611912E-2</v>
      </c>
      <c r="BM10" s="2">
        <v>1.0633224538437923E-2</v>
      </c>
      <c r="BN10" s="2">
        <v>8.0513465447507437E-3</v>
      </c>
      <c r="BO10" s="2">
        <v>5.9333037481491399E-3</v>
      </c>
      <c r="BP10" s="2">
        <v>4.1639628327774878E-3</v>
      </c>
      <c r="BQ10" s="2">
        <v>2.6433678909881957E-3</v>
      </c>
      <c r="BR10" s="2">
        <v>1.2826129886669522E-3</v>
      </c>
      <c r="BS10" s="2">
        <f>C13</f>
        <v>0</v>
      </c>
    </row>
    <row r="12" spans="2:71" x14ac:dyDescent="0.25">
      <c r="B12" s="1" t="s">
        <v>7</v>
      </c>
      <c r="C12" s="1">
        <v>50</v>
      </c>
      <c r="F12" s="3" t="s">
        <v>13</v>
      </c>
      <c r="G12" s="3"/>
      <c r="H12" s="3">
        <f>H14*I12+H15</f>
        <v>47.443419739021323</v>
      </c>
      <c r="I12" s="3">
        <f t="shared" ref="I12:BR12" si="1">I14*J12+I15</f>
        <v>44.897371118118272</v>
      </c>
      <c r="J12" s="3">
        <f t="shared" si="1"/>
        <v>42.372255086952485</v>
      </c>
      <c r="K12" s="3">
        <f t="shared" si="1"/>
        <v>39.87821392853045</v>
      </c>
      <c r="L12" s="3">
        <f t="shared" si="1"/>
        <v>37.425008632063864</v>
      </c>
      <c r="M12" s="3">
        <f t="shared" si="1"/>
        <v>35.021904094361133</v>
      </c>
      <c r="N12" s="3">
        <f t="shared" si="1"/>
        <v>32.677564403258074</v>
      </c>
      <c r="O12" s="3">
        <f t="shared" si="1"/>
        <v>30.399960168671718</v>
      </c>
      <c r="P12" s="3">
        <f t="shared" si="1"/>
        <v>28.196289527542543</v>
      </c>
      <c r="Q12" s="3">
        <f t="shared" si="1"/>
        <v>26.072914070546474</v>
      </c>
      <c r="R12" s="3">
        <f t="shared" si="1"/>
        <v>24.035310534501303</v>
      </c>
      <c r="S12" s="3">
        <f t="shared" si="1"/>
        <v>22.088038688933221</v>
      </c>
      <c r="T12" s="3">
        <f t="shared" si="1"/>
        <v>20.23472543235674</v>
      </c>
      <c r="U12" s="3">
        <f t="shared" si="1"/>
        <v>18.478064716902676</v>
      </c>
      <c r="V12" s="3">
        <f t="shared" si="1"/>
        <v>16.819832551319429</v>
      </c>
      <c r="W12" s="3">
        <f t="shared" si="1"/>
        <v>15.260916002799799</v>
      </c>
      <c r="X12" s="3">
        <f t="shared" si="1"/>
        <v>13.801354836320371</v>
      </c>
      <c r="Y12" s="3">
        <f t="shared" si="1"/>
        <v>12.440394202781718</v>
      </c>
      <c r="Z12" s="3">
        <f t="shared" si="1"/>
        <v>11.176546618403561</v>
      </c>
      <c r="AA12" s="3">
        <f t="shared" si="1"/>
        <v>10.007661369366676</v>
      </c>
      <c r="AB12" s="3">
        <f t="shared" si="1"/>
        <v>8.9309994270957045</v>
      </c>
      <c r="AC12" s="3">
        <f t="shared" si="1"/>
        <v>7.9433119681985538</v>
      </c>
      <c r="AD12" s="3">
        <f t="shared" si="1"/>
        <v>7.0409206543932532</v>
      </c>
      <c r="AE12" s="3">
        <f t="shared" si="1"/>
        <v>6.2197979356799724</v>
      </c>
      <c r="AF12" s="3">
        <f t="shared" si="1"/>
        <v>5.4756457872828417</v>
      </c>
      <c r="AG12" s="3">
        <f t="shared" si="1"/>
        <v>4.8039714694218105</v>
      </c>
      <c r="AH12" s="3">
        <f t="shared" si="1"/>
        <v>4.2001591003002963</v>
      </c>
      <c r="AI12" s="3">
        <f t="shared" si="1"/>
        <v>3.6595360482975745</v>
      </c>
      <c r="AJ12" s="3">
        <f t="shared" si="1"/>
        <v>3.1774333710322651</v>
      </c>
      <c r="AK12" s="3">
        <f t="shared" si="1"/>
        <v>2.7492397491143938</v>
      </c>
      <c r="AL12" s="3">
        <f t="shared" si="1"/>
        <v>2.3704485742696702</v>
      </c>
      <c r="AM12" s="3">
        <f t="shared" si="1"/>
        <v>2.0366980493612652</v>
      </c>
      <c r="AN12" s="3">
        <f t="shared" si="1"/>
        <v>1.7438043370444569</v>
      </c>
      <c r="AO12" s="3">
        <f t="shared" si="1"/>
        <v>1.4877879509455272</v>
      </c>
      <c r="AP12" s="3">
        <f t="shared" si="1"/>
        <v>1.2648937161151697</v>
      </c>
      <c r="AQ12" s="3">
        <f t="shared" si="1"/>
        <v>1.0716047329490714</v>
      </c>
      <c r="AR12" s="3">
        <f t="shared" si="1"/>
        <v>0.90465086070231115</v>
      </c>
      <c r="AS12" s="3">
        <f t="shared" si="1"/>
        <v>0.76101229395639436</v>
      </c>
      <c r="AT12" s="3">
        <f t="shared" si="1"/>
        <v>0.63791883948350658</v>
      </c>
      <c r="AU12" s="3">
        <f t="shared" si="1"/>
        <v>0.53284551403433034</v>
      </c>
      <c r="AV12" s="3">
        <f t="shared" si="1"/>
        <v>0.4435050782185091</v>
      </c>
      <c r="AW12" s="3">
        <f t="shared" si="1"/>
        <v>0.36783810067921785</v>
      </c>
      <c r="AX12" s="3">
        <f t="shared" si="1"/>
        <v>0.30400111313049893</v>
      </c>
      <c r="AY12" s="3">
        <f t="shared" si="1"/>
        <v>0.25035337345958242</v>
      </c>
      <c r="AZ12" s="3">
        <f t="shared" si="1"/>
        <v>0.20544270380435561</v>
      </c>
      <c r="BA12" s="3">
        <f t="shared" si="1"/>
        <v>0.16799081589532042</v>
      </c>
      <c r="BB12" s="3">
        <f t="shared" si="1"/>
        <v>0.13687847932239078</v>
      </c>
      <c r="BC12" s="3">
        <f t="shared" si="1"/>
        <v>0.11113083175111088</v>
      </c>
      <c r="BD12" s="3">
        <f t="shared" si="1"/>
        <v>8.9903075129646043E-2</v>
      </c>
      <c r="BE12" s="3">
        <f t="shared" si="1"/>
        <v>7.2466749909643233E-2</v>
      </c>
      <c r="BF12" s="3">
        <f t="shared" si="1"/>
        <v>5.819673122648529E-2</v>
      </c>
      <c r="BG12" s="3">
        <f t="shared" si="1"/>
        <v>4.655904750872332E-2</v>
      </c>
      <c r="BH12" s="3">
        <f t="shared" si="1"/>
        <v>3.7099583490213382E-2</v>
      </c>
      <c r="BI12" s="3">
        <f t="shared" si="1"/>
        <v>2.9433696212826831E-2</v>
      </c>
      <c r="BJ12" s="3">
        <f t="shared" si="1"/>
        <v>2.3236744257397718E-2</v>
      </c>
      <c r="BK12" s="3">
        <f t="shared" si="1"/>
        <v>1.8235506885578151E-2</v>
      </c>
      <c r="BL12" s="3">
        <f t="shared" si="1"/>
        <v>1.4200450650436189E-2</v>
      </c>
      <c r="BM12" s="3">
        <f t="shared" si="1"/>
        <v>1.093878588694279E-2</v>
      </c>
      <c r="BN12" s="3">
        <f t="shared" si="1"/>
        <v>8.2882438204591284E-3</v>
      </c>
      <c r="BO12" s="3">
        <f t="shared" si="1"/>
        <v>6.1114963053922437E-3</v>
      </c>
      <c r="BP12" s="3">
        <f t="shared" si="1"/>
        <v>4.2911339048115667E-3</v>
      </c>
      <c r="BQ12" s="3">
        <f t="shared" si="1"/>
        <v>2.7251136482990485E-3</v>
      </c>
      <c r="BR12" s="3">
        <f t="shared" si="1"/>
        <v>1.3225849064082379E-3</v>
      </c>
      <c r="BS12" s="3">
        <f>C13</f>
        <v>0</v>
      </c>
    </row>
    <row r="13" spans="2:71" x14ac:dyDescent="0.25">
      <c r="B13" s="1" t="s">
        <v>8</v>
      </c>
      <c r="C13" s="1">
        <v>0</v>
      </c>
      <c r="F13" s="3"/>
    </row>
    <row r="14" spans="2:71" x14ac:dyDescent="0.25">
      <c r="F14" s="2" t="s">
        <v>14</v>
      </c>
      <c r="G14" s="2">
        <f>0</f>
        <v>0</v>
      </c>
      <c r="H14" s="2">
        <f>$C$15/($C$16-$C$17*G14)</f>
        <v>0.24999999999999994</v>
      </c>
      <c r="I14" s="2">
        <f t="shared" ref="I14:BR14" si="2">$C$15/($C$16-$C$17*H14)</f>
        <v>0.26666666666666666</v>
      </c>
      <c r="J14" s="2">
        <f t="shared" si="2"/>
        <v>0.26785714285714279</v>
      </c>
      <c r="K14" s="2">
        <f t="shared" si="2"/>
        <v>0.26794258373205737</v>
      </c>
      <c r="L14" s="2">
        <f t="shared" si="2"/>
        <v>0.26794871794871788</v>
      </c>
      <c r="M14" s="2">
        <f t="shared" si="2"/>
        <v>0.26794915836482303</v>
      </c>
      <c r="N14" s="2">
        <f t="shared" si="2"/>
        <v>0.2679491899852724</v>
      </c>
      <c r="O14" s="2">
        <f t="shared" si="2"/>
        <v>0.2679491922555185</v>
      </c>
      <c r="P14" s="2">
        <f t="shared" si="2"/>
        <v>0.26794919241851484</v>
      </c>
      <c r="Q14" s="2">
        <f t="shared" si="2"/>
        <v>0.26794919243021742</v>
      </c>
      <c r="R14" s="2">
        <f t="shared" si="2"/>
        <v>0.26794919243105764</v>
      </c>
      <c r="S14" s="2">
        <f t="shared" si="2"/>
        <v>0.26794919243111798</v>
      </c>
      <c r="T14" s="2">
        <f t="shared" si="2"/>
        <v>0.26794919243112231</v>
      </c>
      <c r="U14" s="2">
        <f t="shared" si="2"/>
        <v>0.26794919243112264</v>
      </c>
      <c r="V14" s="2">
        <f t="shared" si="2"/>
        <v>0.26794919243112264</v>
      </c>
      <c r="W14" s="2">
        <f t="shared" si="2"/>
        <v>0.26794919243112264</v>
      </c>
      <c r="X14" s="2">
        <f t="shared" si="2"/>
        <v>0.26794919243112264</v>
      </c>
      <c r="Y14" s="2">
        <f t="shared" si="2"/>
        <v>0.26794919243112264</v>
      </c>
      <c r="Z14" s="2">
        <f t="shared" si="2"/>
        <v>0.26794919243112264</v>
      </c>
      <c r="AA14" s="2">
        <f t="shared" si="2"/>
        <v>0.26794919243112264</v>
      </c>
      <c r="AB14" s="2">
        <f t="shared" si="2"/>
        <v>0.26794919243112264</v>
      </c>
      <c r="AC14" s="2">
        <f t="shared" si="2"/>
        <v>0.26794919243112264</v>
      </c>
      <c r="AD14" s="2">
        <f t="shared" si="2"/>
        <v>0.26794919243112264</v>
      </c>
      <c r="AE14" s="2">
        <f t="shared" si="2"/>
        <v>0.26794919243112264</v>
      </c>
      <c r="AF14" s="2">
        <f t="shared" si="2"/>
        <v>0.26794919243112264</v>
      </c>
      <c r="AG14" s="2">
        <f t="shared" si="2"/>
        <v>0.26794919243112264</v>
      </c>
      <c r="AH14" s="2">
        <f t="shared" si="2"/>
        <v>0.26794919243112264</v>
      </c>
      <c r="AI14" s="2">
        <f t="shared" si="2"/>
        <v>0.26794919243112264</v>
      </c>
      <c r="AJ14" s="2">
        <f t="shared" si="2"/>
        <v>0.26794919243112264</v>
      </c>
      <c r="AK14" s="2">
        <f t="shared" si="2"/>
        <v>0.26794919243112264</v>
      </c>
      <c r="AL14" s="2">
        <f t="shared" si="2"/>
        <v>0.26794919243112264</v>
      </c>
      <c r="AM14" s="2">
        <f t="shared" si="2"/>
        <v>0.26794919243112264</v>
      </c>
      <c r="AN14" s="2">
        <f t="shared" si="2"/>
        <v>0.26794919243112264</v>
      </c>
      <c r="AO14" s="2">
        <f t="shared" si="2"/>
        <v>0.26794919243112264</v>
      </c>
      <c r="AP14" s="2">
        <f t="shared" si="2"/>
        <v>0.26794919243112264</v>
      </c>
      <c r="AQ14" s="2">
        <f t="shared" si="2"/>
        <v>0.26794919243112264</v>
      </c>
      <c r="AR14" s="2">
        <f t="shared" si="2"/>
        <v>0.26794919243112264</v>
      </c>
      <c r="AS14" s="2">
        <f t="shared" si="2"/>
        <v>0.26794919243112264</v>
      </c>
      <c r="AT14" s="2">
        <f t="shared" si="2"/>
        <v>0.26794919243112264</v>
      </c>
      <c r="AU14" s="2">
        <f t="shared" si="2"/>
        <v>0.26794919243112264</v>
      </c>
      <c r="AV14" s="2">
        <f t="shared" si="2"/>
        <v>0.26794919243112264</v>
      </c>
      <c r="AW14" s="2">
        <f t="shared" si="2"/>
        <v>0.26794919243112264</v>
      </c>
      <c r="AX14" s="2">
        <f t="shared" si="2"/>
        <v>0.26794919243112264</v>
      </c>
      <c r="AY14" s="2">
        <f t="shared" si="2"/>
        <v>0.26794919243112264</v>
      </c>
      <c r="AZ14" s="2">
        <f t="shared" si="2"/>
        <v>0.26794919243112264</v>
      </c>
      <c r="BA14" s="2">
        <f t="shared" si="2"/>
        <v>0.26794919243112264</v>
      </c>
      <c r="BB14" s="2">
        <f t="shared" si="2"/>
        <v>0.26794919243112264</v>
      </c>
      <c r="BC14" s="2">
        <f t="shared" si="2"/>
        <v>0.26794919243112264</v>
      </c>
      <c r="BD14" s="2">
        <f t="shared" si="2"/>
        <v>0.26794919243112264</v>
      </c>
      <c r="BE14" s="2">
        <f t="shared" si="2"/>
        <v>0.26794919243112264</v>
      </c>
      <c r="BF14" s="2">
        <f t="shared" si="2"/>
        <v>0.26794919243112264</v>
      </c>
      <c r="BG14" s="2">
        <f t="shared" si="2"/>
        <v>0.26794919243112264</v>
      </c>
      <c r="BH14" s="2">
        <f t="shared" si="2"/>
        <v>0.26794919243112264</v>
      </c>
      <c r="BI14" s="2">
        <f t="shared" si="2"/>
        <v>0.26794919243112264</v>
      </c>
      <c r="BJ14" s="2">
        <f t="shared" si="2"/>
        <v>0.26794919243112264</v>
      </c>
      <c r="BK14" s="2">
        <f t="shared" si="2"/>
        <v>0.26794919243112264</v>
      </c>
      <c r="BL14" s="2">
        <f t="shared" si="2"/>
        <v>0.26794919243112264</v>
      </c>
      <c r="BM14" s="2">
        <f t="shared" si="2"/>
        <v>0.26794919243112264</v>
      </c>
      <c r="BN14" s="2">
        <f t="shared" si="2"/>
        <v>0.26794919243112264</v>
      </c>
      <c r="BO14" s="2">
        <f t="shared" si="2"/>
        <v>0.26794919243112264</v>
      </c>
      <c r="BP14" s="2">
        <f t="shared" si="2"/>
        <v>0.26794919243112264</v>
      </c>
      <c r="BQ14" s="2">
        <f t="shared" si="2"/>
        <v>0.26794919243112264</v>
      </c>
      <c r="BR14" s="2">
        <f t="shared" si="2"/>
        <v>0.26794919243112264</v>
      </c>
      <c r="BS14" s="7"/>
    </row>
    <row r="15" spans="2:71" x14ac:dyDescent="0.25">
      <c r="B15" s="1" t="s">
        <v>9</v>
      </c>
      <c r="C15" s="1">
        <f>C10/(C4^2)</f>
        <v>9613061.224489795</v>
      </c>
      <c r="F15" s="2" t="s">
        <v>15</v>
      </c>
      <c r="G15" s="2">
        <f>C12</f>
        <v>50</v>
      </c>
      <c r="H15" s="2">
        <f>((G15*$C$17-H16)/($C$16-$C$17*G14))</f>
        <v>36.219076959491758</v>
      </c>
      <c r="I15" s="2">
        <f t="shared" ref="I15:BR15" si="3">((H15*$C$17-I16)/($C$16-$C$17*H14))</f>
        <v>33.598103094930941</v>
      </c>
      <c r="J15" s="2">
        <f t="shared" si="3"/>
        <v>31.690590641810402</v>
      </c>
      <c r="K15" s="2">
        <f t="shared" si="3"/>
        <v>29.850460419460706</v>
      </c>
      <c r="L15" s="2">
        <f t="shared" si="3"/>
        <v>28.040934329856846</v>
      </c>
      <c r="M15" s="2">
        <f t="shared" si="3"/>
        <v>26.265978215095831</v>
      </c>
      <c r="N15" s="2">
        <f t="shared" si="3"/>
        <v>24.531919700477939</v>
      </c>
      <c r="O15" s="2">
        <f t="shared" si="3"/>
        <v>22.844787165163961</v>
      </c>
      <c r="P15" s="2">
        <f t="shared" si="3"/>
        <v>21.210073258342284</v>
      </c>
      <c r="Q15" s="2">
        <f t="shared" si="3"/>
        <v>19.632672023017353</v>
      </c>
      <c r="R15" s="2">
        <f t="shared" si="3"/>
        <v>18.116838405415688</v>
      </c>
      <c r="S15" s="2">
        <f t="shared" si="3"/>
        <v>16.666160350267827</v>
      </c>
      <c r="T15" s="2">
        <f t="shared" si="3"/>
        <v>15.283542913772651</v>
      </c>
      <c r="U15" s="2">
        <f t="shared" si="3"/>
        <v>13.971204167949924</v>
      </c>
      <c r="V15" s="2">
        <f t="shared" si="3"/>
        <v>12.730682432610026</v>
      </c>
      <c r="W15" s="2">
        <f t="shared" si="3"/>
        <v>11.562854119952387</v>
      </c>
      <c r="X15" s="2">
        <f t="shared" si="3"/>
        <v>10.467961256160191</v>
      </c>
      <c r="Y15" s="2">
        <f t="shared" si="3"/>
        <v>9.4456475622116898</v>
      </c>
      <c r="Z15" s="2">
        <f t="shared" si="3"/>
        <v>8.4950018363576181</v>
      </c>
      <c r="AA15" s="2">
        <f t="shared" si="3"/>
        <v>7.6146072852735633</v>
      </c>
      <c r="AB15" s="2">
        <f t="shared" si="3"/>
        <v>6.8025953999884301</v>
      </c>
      <c r="AC15" s="2">
        <f t="shared" si="3"/>
        <v>6.0567029648822697</v>
      </c>
      <c r="AD15" s="2">
        <f t="shared" si="3"/>
        <v>5.3743308204430411</v>
      </c>
      <c r="AE15" s="2">
        <f t="shared" si="3"/>
        <v>4.7526030689386562</v>
      </c>
      <c r="AF15" s="2">
        <f t="shared" si="3"/>
        <v>4.1884255115891138</v>
      </c>
      <c r="AG15" s="2">
        <f t="shared" si="3"/>
        <v>3.6785422304141151</v>
      </c>
      <c r="AH15" s="2">
        <f t="shared" si="3"/>
        <v>3.2195893714863795</v>
      </c>
      <c r="AI15" s="2">
        <f t="shared" si="3"/>
        <v>2.8081453425257794</v>
      </c>
      <c r="AJ15" s="2">
        <f t="shared" si="3"/>
        <v>2.4407768004575212</v>
      </c>
      <c r="AK15" s="2">
        <f t="shared" si="3"/>
        <v>2.1140799679393298</v>
      </c>
      <c r="AL15" s="2">
        <f t="shared" si="3"/>
        <v>1.8247169767172764</v>
      </c>
      <c r="AM15" s="2">
        <f t="shared" si="3"/>
        <v>1.5694470854923139</v>
      </c>
      <c r="AN15" s="2">
        <f t="shared" si="3"/>
        <v>1.3451527570798483</v>
      </c>
      <c r="AO15" s="2">
        <f t="shared" si="3"/>
        <v>1.1488607012012657</v>
      </c>
      <c r="AP15" s="2">
        <f t="shared" si="3"/>
        <v>0.9777580933160972</v>
      </c>
      <c r="AQ15" s="2">
        <f t="shared" si="3"/>
        <v>0.82920426539176717</v>
      </c>
      <c r="AR15" s="2">
        <f t="shared" si="3"/>
        <v>0.70073823110653921</v>
      </c>
      <c r="AS15" s="2">
        <f t="shared" si="3"/>
        <v>0.59008245608018983</v>
      </c>
      <c r="AT15" s="2">
        <f t="shared" si="3"/>
        <v>0.49514331430746134</v>
      </c>
      <c r="AU15" s="2">
        <f t="shared" si="3"/>
        <v>0.4140086864865789</v>
      </c>
      <c r="AV15" s="2">
        <f t="shared" si="3"/>
        <v>0.34494315619611471</v>
      </c>
      <c r="AW15" s="2">
        <f t="shared" si="3"/>
        <v>0.28638124791773828</v>
      </c>
      <c r="AX15" s="2">
        <f t="shared" si="3"/>
        <v>0.23691912888959657</v>
      </c>
      <c r="AY15" s="2">
        <f t="shared" si="3"/>
        <v>0.19530516688433899</v>
      </c>
      <c r="AZ15" s="2">
        <f t="shared" si="3"/>
        <v>0.16042970034935911</v>
      </c>
      <c r="BA15" s="2">
        <f t="shared" si="3"/>
        <v>0.13131433789968569</v>
      </c>
      <c r="BB15" s="2">
        <f t="shared" si="3"/>
        <v>0.10710106270048166</v>
      </c>
      <c r="BC15" s="2">
        <f t="shared" si="3"/>
        <v>8.704137537304768E-2</v>
      </c>
      <c r="BD15" s="2">
        <f t="shared" si="3"/>
        <v>7.0485668013249E-2</v>
      </c>
      <c r="BE15" s="2">
        <f t="shared" si="3"/>
        <v>5.6872982775375405E-2</v>
      </c>
      <c r="BF15" s="2">
        <f t="shared" si="3"/>
        <v>4.5721272046160603E-2</v>
      </c>
      <c r="BG15" s="2">
        <f t="shared" si="3"/>
        <v>3.6618244072989629E-2</v>
      </c>
      <c r="BH15" s="2">
        <f t="shared" si="3"/>
        <v>2.9212848359723438E-2</v>
      </c>
      <c r="BI15" s="2">
        <f t="shared" si="3"/>
        <v>2.3207429354328585E-2</v>
      </c>
      <c r="BJ15" s="2">
        <f t="shared" si="3"/>
        <v>1.8350554913834874E-2</v>
      </c>
      <c r="BK15" s="2">
        <f t="shared" si="3"/>
        <v>1.4430507601635762E-2</v>
      </c>
      <c r="BL15" s="2">
        <f t="shared" si="3"/>
        <v>1.1269411805852907E-2</v>
      </c>
      <c r="BM15" s="2">
        <f t="shared" si="3"/>
        <v>8.7179576485785244E-3</v>
      </c>
      <c r="BN15" s="2">
        <f t="shared" si="3"/>
        <v>6.6506733208834875E-3</v>
      </c>
      <c r="BO15" s="2">
        <f t="shared" si="3"/>
        <v>4.961690440984174E-3</v>
      </c>
      <c r="BP15" s="2">
        <f t="shared" si="3"/>
        <v>3.5609419034668059E-3</v>
      </c>
      <c r="BQ15" s="2">
        <f t="shared" si="3"/>
        <v>2.3707280907053693E-3</v>
      </c>
      <c r="BR15" s="2">
        <f t="shared" si="3"/>
        <v>1.3225849064082379E-3</v>
      </c>
      <c r="BS15" s="7"/>
    </row>
    <row r="16" spans="2:71" x14ac:dyDescent="0.25">
      <c r="B16" s="1" t="s">
        <v>10</v>
      </c>
      <c r="C16" s="1">
        <f>((2*C10)/(C4^2))+(C9*C8/C5)</f>
        <v>38452244.897959188</v>
      </c>
      <c r="F16" s="2" t="s">
        <v>16</v>
      </c>
      <c r="G16" s="2">
        <f>-(($C$9*$C$8)/$C$5)*G10</f>
        <v>-961306122.44897974</v>
      </c>
      <c r="H16" s="2">
        <f>-(($C$9*$C$8)/$C$5)*H10</f>
        <v>-912051755.99991846</v>
      </c>
      <c r="I16" s="2">
        <f t="shared" ref="I16:BR16" si="4">-(($C$9*$C$8)/$C$5)*I10</f>
        <v>-863001128.4874903</v>
      </c>
      <c r="J16" s="2">
        <f t="shared" si="4"/>
        <v>-814355440.08691835</v>
      </c>
      <c r="K16" s="2">
        <f t="shared" si="4"/>
        <v>-766310866.39539754</v>
      </c>
      <c r="L16" s="2">
        <f t="shared" si="4"/>
        <v>-719056176.95278811</v>
      </c>
      <c r="M16" s="2">
        <f t="shared" si="4"/>
        <v>-672770506.44639671</v>
      </c>
      <c r="N16" s="2">
        <f t="shared" si="4"/>
        <v>-627621322.52211726</v>
      </c>
      <c r="O16" s="2">
        <f t="shared" si="4"/>
        <v>-583762628.4865346</v>
      </c>
      <c r="P16" s="2">
        <f t="shared" si="4"/>
        <v>-541333432.54231083</v>
      </c>
      <c r="Q16" s="2">
        <f t="shared" si="4"/>
        <v>-500456507.79460645</v>
      </c>
      <c r="R16" s="2">
        <f t="shared" si="4"/>
        <v>-461237459.36450338</v>
      </c>
      <c r="S16" s="2">
        <f t="shared" si="4"/>
        <v>-423764106.82268584</v>
      </c>
      <c r="T16" s="2">
        <f t="shared" si="4"/>
        <v>-388106182.08865988</v>
      </c>
      <c r="U16" s="2">
        <f t="shared" si="4"/>
        <v>-354315335.19119436</v>
      </c>
      <c r="V16" s="2">
        <f t="shared" si="4"/>
        <v>-322425433.09561968</v>
      </c>
      <c r="W16" s="2">
        <f t="shared" si="4"/>
        <v>-292453130.38288617</v>
      </c>
      <c r="X16" s="2">
        <f t="shared" si="4"/>
        <v>-264398685.08498526</v>
      </c>
      <c r="Y16" s="2">
        <f t="shared" si="4"/>
        <v>-238246988.56898054</v>
      </c>
      <c r="Z16" s="2">
        <f t="shared" si="4"/>
        <v>-213968775.0984996</v>
      </c>
      <c r="AA16" s="2">
        <f t="shared" si="4"/>
        <v>-191521974.62110093</v>
      </c>
      <c r="AB16" s="2">
        <f t="shared" si="4"/>
        <v>-170853171.42101872</v>
      </c>
      <c r="AC16" s="2">
        <f t="shared" si="4"/>
        <v>-151899131.48604962</v>
      </c>
      <c r="AD16" s="2">
        <f t="shared" si="4"/>
        <v>-134588362.6746664</v>
      </c>
      <c r="AE16" s="2">
        <f t="shared" si="4"/>
        <v>-118842673.91436064</v>
      </c>
      <c r="AF16" s="2">
        <f t="shared" si="4"/>
        <v>-104578702.57117747</v>
      </c>
      <c r="AG16" s="2">
        <f t="shared" si="4"/>
        <v>-91709382.644461989</v>
      </c>
      <c r="AH16" s="2">
        <f t="shared" si="4"/>
        <v>-80145330.393372834</v>
      </c>
      <c r="AI16" s="2">
        <f t="shared" si="4"/>
        <v>-69796128.225793257</v>
      </c>
      <c r="AJ16" s="2">
        <f t="shared" si="4"/>
        <v>-60571492.015331022</v>
      </c>
      <c r="AK16" s="2">
        <f t="shared" si="4"/>
        <v>-52382311.3097215</v>
      </c>
      <c r="AL16" s="2">
        <f t="shared" si="4"/>
        <v>-45141556.022489138</v>
      </c>
      <c r="AM16" s="2">
        <f t="shared" si="4"/>
        <v>-38765047.047737062</v>
      </c>
      <c r="AN16" s="2">
        <f t="shared" si="4"/>
        <v>-33172091.716350466</v>
      </c>
      <c r="AO16" s="2">
        <f t="shared" si="4"/>
        <v>-28285988.054963551</v>
      </c>
      <c r="AP16" s="2">
        <f t="shared" si="4"/>
        <v>-24034404.374160144</v>
      </c>
      <c r="AQ16" s="2">
        <f t="shared" si="4"/>
        <v>-20349642.778963603</v>
      </c>
      <c r="AR16" s="2">
        <f t="shared" si="4"/>
        <v>-17168796.76219013</v>
      </c>
      <c r="AS16" s="2">
        <f t="shared" si="4"/>
        <v>-14433814.126639852</v>
      </c>
      <c r="AT16" s="2">
        <f t="shared" si="4"/>
        <v>-12091477.116842713</v>
      </c>
      <c r="AU16" s="2">
        <f t="shared" si="4"/>
        <v>-10093311.867929928</v>
      </c>
      <c r="AV16" s="2">
        <f t="shared" si="4"/>
        <v>-8395439.1490105428</v>
      </c>
      <c r="AW16" s="2">
        <f t="shared" si="4"/>
        <v>-6958377.9469942534</v>
      </c>
      <c r="AX16" s="2">
        <f t="shared" si="4"/>
        <v>-5746812.7619922552</v>
      </c>
      <c r="AY16" s="2">
        <f t="shared" si="4"/>
        <v>-4729334.6246655714</v>
      </c>
      <c r="AZ16" s="2">
        <f t="shared" si="4"/>
        <v>-3878164.854005741</v>
      </c>
      <c r="BA16" s="2">
        <f t="shared" si="4"/>
        <v>-3168869.5015776395</v>
      </c>
      <c r="BB16" s="2">
        <f t="shared" si="4"/>
        <v>-2580071.3202592013</v>
      </c>
      <c r="BC16" s="2">
        <f t="shared" si="4"/>
        <v>-2093164.9906752184</v>
      </c>
      <c r="BD16" s="2">
        <f t="shared" si="4"/>
        <v>-1692040.2687916793</v>
      </c>
      <c r="BE16" s="2">
        <f t="shared" si="4"/>
        <v>-1362816.7086481904</v>
      </c>
      <c r="BF16" s="2">
        <f t="shared" si="4"/>
        <v>-1093592.6835050441</v>
      </c>
      <c r="BG16" s="2">
        <f t="shared" si="4"/>
        <v>-874210.58918127348</v>
      </c>
      <c r="BH16" s="2">
        <f t="shared" si="4"/>
        <v>-696039.37196574442</v>
      </c>
      <c r="BI16" s="2">
        <f t="shared" si="4"/>
        <v>-551774.88232908328</v>
      </c>
      <c r="BJ16" s="2">
        <f t="shared" si="4"/>
        <v>-435258.012909098</v>
      </c>
      <c r="BK16" s="2">
        <f t="shared" si="4"/>
        <v>-341310.12988050713</v>
      </c>
      <c r="BL16" s="2">
        <f t="shared" si="4"/>
        <v>-265584.94346852228</v>
      </c>
      <c r="BM16" s="2">
        <f t="shared" si="4"/>
        <v>-204435.67700350203</v>
      </c>
      <c r="BN16" s="2">
        <f t="shared" si="4"/>
        <v>-154796.17454854655</v>
      </c>
      <c r="BO16" s="2">
        <f t="shared" si="4"/>
        <v>-114074.42438890494</v>
      </c>
      <c r="BP16" s="2">
        <f t="shared" si="4"/>
        <v>-80056.859295979928</v>
      </c>
      <c r="BQ16" s="2">
        <f t="shared" si="4"/>
        <v>-50821.714749839994</v>
      </c>
      <c r="BR16" s="2">
        <f t="shared" si="4"/>
        <v>-24659.674374762497</v>
      </c>
      <c r="BS16" s="7"/>
    </row>
    <row r="17" spans="2:3" x14ac:dyDescent="0.25">
      <c r="B17" s="1" t="s">
        <v>11</v>
      </c>
      <c r="C17" s="1">
        <f>C15</f>
        <v>9613061.224489795</v>
      </c>
    </row>
  </sheetData>
  <conditionalFormatting sqref="G10:BS10">
    <cfRule type="colorScale" priority="1">
      <colorScale>
        <cfvo type="min"/>
        <cfvo type="percentile" val="50"/>
        <cfvo type="max"/>
        <color theme="4" tint="0.59999389629810485"/>
        <color rgb="FFBFF7E0"/>
        <color rgb="FFE97BAA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2021-06-03T13:39:29Z</dcterms:modified>
</cp:coreProperties>
</file>